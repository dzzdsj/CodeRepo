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25" windowHeight="13740"/>
  </bookViews>
  <sheets>
    <sheet name="Sheet1" sheetId="1" r:id="rId1"/>
    <sheet name="Sheet2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B40" i="2"/>
  <c r="B34" i="2"/>
  <c r="B32" i="2"/>
  <c r="B30" i="2"/>
  <c r="B29" i="2"/>
  <c r="B26" i="2"/>
  <c r="B25" i="2"/>
  <c r="B24" i="2"/>
  <c r="B23" i="2"/>
  <c r="B22" i="2"/>
  <c r="B20" i="2"/>
  <c r="B19" i="2"/>
  <c r="B18" i="2"/>
  <c r="B16" i="2"/>
  <c r="B12" i="2"/>
  <c r="B10" i="2"/>
  <c r="B8" i="2"/>
  <c r="B5" i="2"/>
  <c r="B4" i="2"/>
  <c r="B2" i="2"/>
  <c r="B1" i="2"/>
</calcChain>
</file>

<file path=xl/comments1.xml><?xml version="1.0" encoding="utf-8"?>
<comments xmlns="http://schemas.openxmlformats.org/spreadsheetml/2006/main">
  <authors>
    <author>微软用户</author>
    <author>Administrator</author>
    <author>陈榕</author>
  </authors>
  <commentList>
    <comment ref="A2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20日扣手续费</t>
        </r>
      </text>
    </comment>
    <comment ref="A4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季度20号利息收入
29日扣手续费
</t>
        </r>
      </text>
    </comment>
    <comment ref="A5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21号扣贷款利息
贴现不能归还流贷
流贷不能同名转款
</t>
        </r>
      </text>
    </comment>
    <comment ref="A6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21日扣贷款利息
回单机帐号1069283</t>
        </r>
      </text>
    </comment>
    <comment ref="A8" authorId="0">
      <text>
        <r>
          <rPr>
            <b/>
            <sz val="9"/>
            <rFont val="宋体"/>
            <family val="3"/>
            <charset val="134"/>
          </rPr>
          <t>电子对账:</t>
        </r>
        <r>
          <rPr>
            <sz val="9"/>
            <rFont val="宋体"/>
            <family val="3"/>
            <charset val="134"/>
          </rPr>
          <t xml:space="preserve">
用户名0365
密码210365</t>
        </r>
      </text>
    </comment>
    <comment ref="A9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20号利息收入
季度21号扣贷款利息</t>
        </r>
      </text>
    </comment>
    <comment ref="A13" authorId="1">
      <text>
        <r>
          <rPr>
            <sz val="9"/>
            <rFont val="宋体"/>
            <family val="3"/>
            <charset val="134"/>
          </rPr>
          <t>每月余额50万</t>
        </r>
      </text>
    </comment>
    <comment ref="A15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季度20号利息收入</t>
        </r>
      </text>
    </comment>
    <comment ref="A16" authorId="0">
      <text>
        <r>
          <rPr>
            <b/>
            <sz val="9"/>
            <rFont val="宋体"/>
            <family val="3"/>
            <charset val="134"/>
          </rPr>
          <t>2018.4.16增加</t>
        </r>
      </text>
    </comment>
    <comment ref="A17" authorId="0">
      <text>
        <r>
          <rPr>
            <b/>
            <sz val="9"/>
            <rFont val="宋体"/>
            <family val="3"/>
            <charset val="134"/>
          </rPr>
          <t>微软用户:</t>
        </r>
        <r>
          <rPr>
            <sz val="9"/>
            <rFont val="宋体"/>
            <family val="3"/>
            <charset val="134"/>
          </rPr>
          <t xml:space="preserve">
每月余额60万
29日扣手续费</t>
        </r>
      </text>
    </comment>
    <comment ref="A20" authorId="1">
      <text>
        <r>
          <rPr>
            <b/>
            <sz val="9"/>
            <rFont val="宋体"/>
            <family val="3"/>
            <charset val="134"/>
          </rPr>
          <t>每月账户余额150万
扣税45万</t>
        </r>
      </text>
    </comment>
    <comment ref="A30" authorId="1">
      <text>
        <r>
          <rPr>
            <b/>
            <sz val="9"/>
            <rFont val="宋体"/>
            <family val="3"/>
            <charset val="134"/>
          </rPr>
          <t>每月账户余额5万</t>
        </r>
      </text>
    </comment>
    <comment ref="A42" authorId="2">
      <text>
        <r>
          <rPr>
            <b/>
            <sz val="9"/>
            <rFont val="宋体"/>
            <family val="3"/>
            <charset val="134"/>
          </rPr>
          <t>包含定存户：150万</t>
        </r>
      </text>
    </comment>
  </commentList>
</comments>
</file>

<file path=xl/sharedStrings.xml><?xml version="1.0" encoding="utf-8"?>
<sst xmlns="http://schemas.openxmlformats.org/spreadsheetml/2006/main" count="179" uniqueCount="156">
  <si>
    <t>短号列</t>
  </si>
  <si>
    <t>短号金额</t>
  </si>
  <si>
    <t>长号列</t>
  </si>
  <si>
    <t>长号金额</t>
  </si>
  <si>
    <t>(88000028190)光大</t>
  </si>
  <si>
    <t>(29006757488)工行</t>
  </si>
  <si>
    <t>（19601184803）工行</t>
  </si>
  <si>
    <t>(06050002947)建行</t>
  </si>
  <si>
    <t>(02871210601)招行</t>
  </si>
  <si>
    <t>(12100049269)平安</t>
  </si>
  <si>
    <t>(55300000401)浦发</t>
  </si>
  <si>
    <t>(82200001959)中信</t>
  </si>
  <si>
    <t>(6421173)民生银行</t>
  </si>
  <si>
    <t>(0005995)农业银行</t>
  </si>
  <si>
    <t>（76344）兴业银行</t>
  </si>
  <si>
    <t>(58469)浙商银行</t>
  </si>
  <si>
    <t>(062116)省创光大</t>
  </si>
  <si>
    <t>(5810701)省创招行</t>
  </si>
  <si>
    <t>(2518023)省创建行</t>
  </si>
  <si>
    <t>（16395）省创工行</t>
  </si>
  <si>
    <t>(513307)锐科建行</t>
  </si>
  <si>
    <t>(329003)锐科平安</t>
  </si>
  <si>
    <t>(410302)锐科招行</t>
  </si>
  <si>
    <t>(510503)天创招行</t>
  </si>
  <si>
    <t>(518047)天创建行</t>
  </si>
  <si>
    <t>（606665522）天创民生</t>
  </si>
  <si>
    <t>（0601）深圳新大陆（深圳）</t>
  </si>
  <si>
    <t>（0402）深圳新大陆（福州）</t>
  </si>
  <si>
    <t>合计</t>
  </si>
  <si>
    <t>合计(单位：万)</t>
  </si>
  <si>
    <t>(3226710803)盈科</t>
  </si>
  <si>
    <t>(1210203)工会经费</t>
  </si>
  <si>
    <t>（591908168710801）天创工会经费</t>
  </si>
  <si>
    <t>(910303)慧创招行</t>
  </si>
  <si>
    <r>
      <rPr>
        <sz val="10"/>
        <rFont val="宋体"/>
        <family val="3"/>
        <charset val="134"/>
      </rPr>
      <t>(88000028190)</t>
    </r>
    <r>
      <rPr>
        <b/>
        <sz val="10"/>
        <rFont val="宋体"/>
        <family val="3"/>
        <charset val="134"/>
      </rPr>
      <t>光大</t>
    </r>
  </si>
  <si>
    <r>
      <rPr>
        <sz val="10"/>
        <color theme="0" tint="-0.34998626667073579"/>
        <rFont val="宋体"/>
        <family val="3"/>
        <charset val="134"/>
      </rPr>
      <t>(29006757488)</t>
    </r>
    <r>
      <rPr>
        <b/>
        <sz val="10"/>
        <color indexed="55"/>
        <rFont val="宋体"/>
        <family val="3"/>
        <charset val="134"/>
      </rPr>
      <t>工行</t>
    </r>
  </si>
  <si>
    <r>
      <rPr>
        <sz val="10"/>
        <rFont val="宋体"/>
        <family val="3"/>
        <charset val="134"/>
      </rPr>
      <t>(06050002947)</t>
    </r>
    <r>
      <rPr>
        <b/>
        <sz val="10"/>
        <rFont val="宋体"/>
        <family val="3"/>
        <charset val="134"/>
      </rPr>
      <t>建行</t>
    </r>
  </si>
  <si>
    <r>
      <rPr>
        <sz val="10"/>
        <rFont val="宋体"/>
        <family val="3"/>
        <charset val="134"/>
      </rPr>
      <t>(02871210601)</t>
    </r>
    <r>
      <rPr>
        <b/>
        <sz val="10"/>
        <rFont val="宋体"/>
        <family val="3"/>
        <charset val="134"/>
      </rPr>
      <t>招行</t>
    </r>
  </si>
  <si>
    <r>
      <rPr>
        <sz val="10"/>
        <color theme="0" tint="-0.34998626667073579"/>
        <rFont val="宋体"/>
        <family val="3"/>
        <charset val="134"/>
      </rPr>
      <t>(12100049269)</t>
    </r>
    <r>
      <rPr>
        <b/>
        <sz val="10"/>
        <color indexed="55"/>
        <rFont val="宋体"/>
        <family val="3"/>
        <charset val="134"/>
      </rPr>
      <t>平安</t>
    </r>
  </si>
  <si>
    <r>
      <rPr>
        <sz val="10"/>
        <color theme="0" tint="-0.34998626667073579"/>
        <rFont val="宋体"/>
        <family val="3"/>
        <charset val="134"/>
      </rPr>
      <t>(55300000401)</t>
    </r>
    <r>
      <rPr>
        <b/>
        <sz val="10"/>
        <rFont val="宋体"/>
        <family val="3"/>
        <charset val="134"/>
      </rPr>
      <t>浦发</t>
    </r>
  </si>
  <si>
    <r>
      <rPr>
        <sz val="10"/>
        <color theme="0" tint="-0.34998626667073579"/>
        <rFont val="宋体"/>
        <family val="3"/>
        <charset val="134"/>
      </rPr>
      <t>(</t>
    </r>
    <r>
      <rPr>
        <sz val="10"/>
        <color indexed="8"/>
        <rFont val="宋体"/>
        <family val="3"/>
        <charset val="134"/>
      </rPr>
      <t>82200001959</t>
    </r>
    <r>
      <rPr>
        <sz val="10"/>
        <rFont val="宋体"/>
        <family val="3"/>
        <charset val="134"/>
      </rPr>
      <t>)</t>
    </r>
    <r>
      <rPr>
        <b/>
        <sz val="10"/>
        <rFont val="宋体"/>
        <family val="3"/>
        <charset val="134"/>
      </rPr>
      <t>中信</t>
    </r>
  </si>
  <si>
    <r>
      <rPr>
        <sz val="10"/>
        <rFont val="宋体"/>
        <family val="3"/>
        <charset val="134"/>
      </rPr>
      <t>(6421173)</t>
    </r>
    <r>
      <rPr>
        <b/>
        <sz val="10"/>
        <rFont val="宋体"/>
        <family val="3"/>
        <charset val="134"/>
      </rPr>
      <t>民生银行</t>
    </r>
  </si>
  <si>
    <r>
      <rPr>
        <sz val="10"/>
        <color indexed="55"/>
        <rFont val="宋体"/>
        <family val="3"/>
        <charset val="134"/>
      </rPr>
      <t>(0005995)</t>
    </r>
    <r>
      <rPr>
        <b/>
        <sz val="10"/>
        <color indexed="55"/>
        <rFont val="宋体"/>
        <family val="3"/>
        <charset val="134"/>
      </rPr>
      <t>农业银行</t>
    </r>
  </si>
  <si>
    <r>
      <rPr>
        <sz val="10"/>
        <rFont val="宋体"/>
        <family val="3"/>
        <charset val="134"/>
      </rPr>
      <t>(062116)</t>
    </r>
    <r>
      <rPr>
        <b/>
        <sz val="10"/>
        <rFont val="宋体"/>
        <family val="3"/>
        <charset val="134"/>
      </rPr>
      <t>省创光大</t>
    </r>
  </si>
  <si>
    <r>
      <rPr>
        <sz val="10"/>
        <color theme="0" tint="-0.34998626667073579"/>
        <rFont val="宋体"/>
        <family val="3"/>
        <charset val="134"/>
      </rPr>
      <t>(5810701)</t>
    </r>
    <r>
      <rPr>
        <b/>
        <sz val="10"/>
        <color indexed="55"/>
        <rFont val="宋体"/>
        <family val="3"/>
        <charset val="134"/>
      </rPr>
      <t>省创招行</t>
    </r>
  </si>
  <si>
    <r>
      <rPr>
        <sz val="10"/>
        <color theme="0" tint="-0.34998626667073579"/>
        <rFont val="宋体"/>
        <family val="3"/>
        <charset val="134"/>
      </rPr>
      <t>(2518023)</t>
    </r>
    <r>
      <rPr>
        <b/>
        <sz val="10"/>
        <color indexed="55"/>
        <rFont val="宋体"/>
        <family val="3"/>
        <charset val="134"/>
      </rPr>
      <t>省创建行</t>
    </r>
  </si>
  <si>
    <r>
      <rPr>
        <sz val="10"/>
        <rFont val="宋体"/>
        <family val="3"/>
        <charset val="134"/>
      </rPr>
      <t>(513307)</t>
    </r>
    <r>
      <rPr>
        <b/>
        <sz val="10"/>
        <rFont val="宋体"/>
        <family val="3"/>
        <charset val="134"/>
      </rPr>
      <t>锐科建行</t>
    </r>
  </si>
  <si>
    <r>
      <rPr>
        <sz val="10"/>
        <color theme="0" tint="-0.34998626667073579"/>
        <rFont val="宋体"/>
        <family val="3"/>
        <charset val="134"/>
      </rPr>
      <t>(329003)</t>
    </r>
    <r>
      <rPr>
        <b/>
        <sz val="10"/>
        <color indexed="55"/>
        <rFont val="宋体"/>
        <family val="3"/>
        <charset val="134"/>
      </rPr>
      <t>锐科平安</t>
    </r>
  </si>
  <si>
    <r>
      <rPr>
        <sz val="10"/>
        <color theme="0" tint="-0.34998626667073579"/>
        <rFont val="宋体"/>
        <family val="3"/>
        <charset val="134"/>
      </rPr>
      <t>(410302)</t>
    </r>
    <r>
      <rPr>
        <b/>
        <sz val="10"/>
        <color indexed="55"/>
        <rFont val="宋体"/>
        <family val="3"/>
        <charset val="134"/>
      </rPr>
      <t>锐科招行</t>
    </r>
  </si>
  <si>
    <r>
      <rPr>
        <sz val="10"/>
        <rFont val="宋体"/>
        <family val="3"/>
        <charset val="134"/>
      </rPr>
      <t>(510503)</t>
    </r>
    <r>
      <rPr>
        <b/>
        <sz val="10"/>
        <rFont val="宋体"/>
        <family val="3"/>
        <charset val="134"/>
      </rPr>
      <t>天创招行</t>
    </r>
  </si>
  <si>
    <r>
      <rPr>
        <sz val="10"/>
        <color theme="0" tint="-0.34998626667073579"/>
        <rFont val="宋体"/>
        <family val="3"/>
        <charset val="134"/>
      </rPr>
      <t>(518047)</t>
    </r>
    <r>
      <rPr>
        <b/>
        <sz val="10"/>
        <color indexed="55"/>
        <rFont val="宋体"/>
        <family val="3"/>
        <charset val="134"/>
      </rPr>
      <t>天创建行</t>
    </r>
  </si>
  <si>
    <r>
      <rPr>
        <sz val="10"/>
        <rFont val="宋体"/>
        <family val="3"/>
        <charset val="134"/>
      </rPr>
      <t>(3226710803)</t>
    </r>
    <r>
      <rPr>
        <b/>
        <sz val="10"/>
        <rFont val="宋体"/>
        <family val="3"/>
        <charset val="134"/>
      </rPr>
      <t>盈科</t>
    </r>
  </si>
  <si>
    <r>
      <rPr>
        <sz val="10"/>
        <rFont val="宋体"/>
        <family val="3"/>
        <charset val="134"/>
      </rPr>
      <t>(1210203)</t>
    </r>
    <r>
      <rPr>
        <b/>
        <sz val="10"/>
        <rFont val="宋体"/>
        <family val="3"/>
        <charset val="134"/>
      </rPr>
      <t>工会经费</t>
    </r>
  </si>
  <si>
    <r>
      <rPr>
        <sz val="10"/>
        <rFont val="宋体"/>
        <family val="3"/>
        <charset val="134"/>
      </rPr>
      <t>(910303)</t>
    </r>
    <r>
      <rPr>
        <b/>
        <sz val="10"/>
        <rFont val="宋体"/>
        <family val="3"/>
        <charset val="134"/>
      </rPr>
      <t>慧创招行</t>
    </r>
  </si>
  <si>
    <t>美元：USD:</t>
  </si>
  <si>
    <t>(00229021139)建行</t>
  </si>
  <si>
    <t>(60033)建行待核查</t>
  </si>
  <si>
    <t>(02871232802)招行</t>
  </si>
  <si>
    <t>(32404)招行待核查</t>
  </si>
  <si>
    <t>(19602003830)南门工行</t>
  </si>
  <si>
    <t>(226)中信美元户</t>
  </si>
  <si>
    <t>(01077)中信待核查</t>
  </si>
  <si>
    <t>(2003830)自贸区工行</t>
  </si>
  <si>
    <t>(1232801)招行港币</t>
  </si>
  <si>
    <t>(01)香港离岸户</t>
  </si>
  <si>
    <t>100011915080010001</t>
  </si>
  <si>
    <t>88888888_通信股份</t>
  </si>
  <si>
    <t>99999999_通信股份</t>
  </si>
  <si>
    <t>1402026119601184803</t>
  </si>
  <si>
    <t>1402026119602003830</t>
  </si>
  <si>
    <t>1402025109332002211</t>
  </si>
  <si>
    <t>1402025119341005378</t>
  </si>
  <si>
    <t>1402025129006757488</t>
  </si>
  <si>
    <t>1402025129601058744</t>
  </si>
  <si>
    <t>1402025129601086658</t>
  </si>
  <si>
    <t>3710156003308712</t>
  </si>
  <si>
    <t>3710840000018393</t>
  </si>
  <si>
    <t>3710840000021911</t>
  </si>
  <si>
    <t>XXXXXXXXX通信股份</t>
  </si>
  <si>
    <t>35001002406049002947</t>
  </si>
  <si>
    <t>35014000300229021139</t>
  </si>
  <si>
    <t>35014000300229060033</t>
  </si>
  <si>
    <t>35033000300229021180</t>
  </si>
  <si>
    <t>XXXXXXXXXXXXXXXX2947</t>
  </si>
  <si>
    <t>0052277541715422</t>
  </si>
  <si>
    <t>351008090018010011244</t>
  </si>
  <si>
    <t>7012100049269</t>
  </si>
  <si>
    <t>0000010058040012</t>
  </si>
  <si>
    <t>43010155300000401</t>
  </si>
  <si>
    <t>11111111_通信股份</t>
  </si>
  <si>
    <t>6214921700454172</t>
  </si>
  <si>
    <t>6226601700000177</t>
  </si>
  <si>
    <t>6226601700000714</t>
  </si>
  <si>
    <t>6226681700437702</t>
  </si>
  <si>
    <t>XXXXXXXXXX通信股份</t>
  </si>
  <si>
    <t>117010100100343205</t>
  </si>
  <si>
    <t>116030100100043244</t>
  </si>
  <si>
    <t>兴业银行保证金</t>
  </si>
  <si>
    <t>117020100100476344</t>
  </si>
  <si>
    <t>虚拟银行_票据银行_通信</t>
  </si>
  <si>
    <t>虚拟银行_信用证_通信_美元</t>
  </si>
  <si>
    <t>子公司内部往来_香港_建行美元</t>
  </si>
  <si>
    <t>000000501511379626</t>
  </si>
  <si>
    <t>591902871210601</t>
  </si>
  <si>
    <t>591902871232404</t>
  </si>
  <si>
    <t>591902871232802</t>
  </si>
  <si>
    <t>招行华林支行_美元押汇户</t>
  </si>
  <si>
    <t>3910000010120100058469</t>
  </si>
  <si>
    <t>37650188000028190</t>
  </si>
  <si>
    <t>626421173</t>
  </si>
  <si>
    <t>13115401040005995</t>
  </si>
  <si>
    <t>7345310182200001959</t>
  </si>
  <si>
    <t>7345310182200007329通信股份</t>
  </si>
  <si>
    <t>7345311482200000226</t>
  </si>
  <si>
    <t>7345311497000001077</t>
  </si>
  <si>
    <t>11111111_通信工程</t>
  </si>
  <si>
    <t>6226691700903975</t>
  </si>
  <si>
    <t>55555555_通信工程</t>
  </si>
  <si>
    <t>66666666_通信工程</t>
  </si>
  <si>
    <t>应收应付中转(应付)_通信工程</t>
  </si>
  <si>
    <t>应收应付中转（费用）_通信工程</t>
  </si>
  <si>
    <t>虚拟银行_票据银行</t>
  </si>
  <si>
    <t>591903262910303</t>
  </si>
  <si>
    <t>35001002406052513307</t>
  </si>
  <si>
    <t>11014721329003</t>
  </si>
  <si>
    <t>11111111_锐科</t>
  </si>
  <si>
    <t>6226621701471292</t>
  </si>
  <si>
    <t>55555555_锐科</t>
  </si>
  <si>
    <t>66666666_锐科</t>
  </si>
  <si>
    <t>应收应付中转(费用)_锐科</t>
  </si>
  <si>
    <t>应收应付中转(应付)_锐科</t>
  </si>
  <si>
    <t>591904037410302</t>
  </si>
  <si>
    <t>35001002406052518047</t>
  </si>
  <si>
    <t>11111111_天创</t>
  </si>
  <si>
    <t>6226621701190231</t>
  </si>
  <si>
    <t>55555555_天创</t>
  </si>
  <si>
    <t>66666666_天创</t>
  </si>
  <si>
    <t>应收应付中转(应付)_天创</t>
  </si>
  <si>
    <t>应收应付中转（费用）_天创</t>
  </si>
  <si>
    <t>591903332510503</t>
  </si>
  <si>
    <t>606665522</t>
  </si>
  <si>
    <t>1402201419600016395</t>
  </si>
  <si>
    <t>35001002406052518023</t>
  </si>
  <si>
    <t>6226671700069977</t>
  </si>
  <si>
    <t>现金银行_省创</t>
  </si>
  <si>
    <t>55555555_省创</t>
  </si>
  <si>
    <t>66666666_省创</t>
  </si>
  <si>
    <t>应收应付中转(费用)_省创</t>
  </si>
  <si>
    <t>应收应付中转(应付)_省创</t>
  </si>
  <si>
    <t>591903065810701</t>
  </si>
  <si>
    <t>37650188000062116</t>
  </si>
  <si>
    <t>NRA000000501511237860</t>
  </si>
  <si>
    <t>NRA755921947832102</t>
  </si>
  <si>
    <t>OSA755921947832301</t>
  </si>
  <si>
    <t>755929647210402</t>
  </si>
  <si>
    <t>755929647210601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</si>
</sst>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#,##0.00_ "/>
    <numFmt numFmtId="177" formatCode="0.00_ "/>
  </numFmts>
  <fonts count="15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0"/>
      <color theme="0" tint="-0.3499862666707357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indexed="55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theme="0" tint="-0.34998626667073579"/>
      <name val="宋体"/>
      <family val="3"/>
      <charset val="134"/>
    </font>
    <font>
      <b/>
      <sz val="10"/>
      <color theme="0" tint="-0.4999847407452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indexed="55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</cellStyleXfs>
  <cellXfs count="48">
    <xf numFmtId="0" fontId="0" fillId="0" borderId="0" xfId="0">
      <alignment vertical="center"/>
    </xf>
    <xf numFmtId="0" fontId="1" fillId="0" borderId="1" xfId="3" applyFont="1" applyFill="1" applyBorder="1" applyAlignment="1">
      <alignment horizontal="right" vertical="center"/>
    </xf>
    <xf numFmtId="43" fontId="1" fillId="2" borderId="2" xfId="2" applyFont="1" applyFill="1" applyBorder="1" applyAlignment="1">
      <alignment horizontal="center" vertical="center"/>
    </xf>
    <xf numFmtId="0" fontId="2" fillId="0" borderId="3" xfId="3" applyFont="1" applyFill="1" applyBorder="1" applyAlignment="1">
      <alignment horizontal="right" vertical="center"/>
    </xf>
    <xf numFmtId="43" fontId="1" fillId="0" borderId="4" xfId="2" applyFont="1" applyFill="1" applyBorder="1" applyAlignment="1">
      <alignment horizontal="center" vertical="center" wrapText="1"/>
    </xf>
    <xf numFmtId="0" fontId="2" fillId="0" borderId="4" xfId="3" applyFont="1" applyFill="1" applyBorder="1" applyAlignment="1">
      <alignment horizontal="right" vertical="center"/>
    </xf>
    <xf numFmtId="0" fontId="1" fillId="3" borderId="5" xfId="3" applyFont="1" applyFill="1" applyBorder="1" applyAlignment="1">
      <alignment horizontal="right" vertical="center"/>
    </xf>
    <xf numFmtId="4" fontId="3" fillId="0" borderId="0" xfId="1" applyNumberFormat="1" applyFont="1" applyAlignment="1">
      <alignment vertical="center" wrapText="1"/>
    </xf>
    <xf numFmtId="0" fontId="1" fillId="3" borderId="4" xfId="3" applyFont="1" applyFill="1" applyBorder="1" applyAlignment="1">
      <alignment horizontal="right" vertical="center"/>
    </xf>
    <xf numFmtId="4" fontId="3" fillId="0" borderId="4" xfId="1" applyNumberFormat="1" applyFont="1" applyBorder="1">
      <alignment vertical="center"/>
    </xf>
    <xf numFmtId="4" fontId="3" fillId="0" borderId="4" xfId="1" applyNumberFormat="1" applyFont="1" applyBorder="1" applyAlignment="1">
      <alignment horizontal="right" vertical="center"/>
    </xf>
    <xf numFmtId="176" fontId="1" fillId="0" borderId="4" xfId="2" applyNumberFormat="1" applyFont="1" applyFill="1" applyBorder="1" applyAlignment="1">
      <alignment horizontal="right" vertical="center"/>
    </xf>
    <xf numFmtId="43" fontId="1" fillId="0" borderId="4" xfId="2" applyFont="1" applyFill="1" applyBorder="1" applyAlignment="1">
      <alignment vertical="center"/>
    </xf>
    <xf numFmtId="0" fontId="1" fillId="0" borderId="4" xfId="3" applyFont="1" applyFill="1" applyBorder="1" applyAlignment="1">
      <alignment horizontal="right" vertical="center"/>
    </xf>
    <xf numFmtId="43" fontId="1" fillId="0" borderId="4" xfId="2" applyFont="1" applyFill="1" applyBorder="1" applyAlignment="1">
      <alignment horizontal="center" vertical="center"/>
    </xf>
    <xf numFmtId="0" fontId="4" fillId="0" borderId="6" xfId="3" applyFont="1" applyFill="1" applyBorder="1" applyAlignment="1">
      <alignment horizontal="right" vertical="center"/>
    </xf>
    <xf numFmtId="43" fontId="1" fillId="0" borderId="7" xfId="2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4" xfId="3" applyFont="1" applyFill="1" applyBorder="1" applyAlignment="1">
      <alignment horizontal="right" vertical="center"/>
    </xf>
    <xf numFmtId="43" fontId="1" fillId="2" borderId="4" xfId="2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right" vertical="center"/>
    </xf>
    <xf numFmtId="0" fontId="2" fillId="0" borderId="6" xfId="3" applyFont="1" applyFill="1" applyBorder="1" applyAlignment="1">
      <alignment horizontal="right" vertical="center"/>
    </xf>
    <xf numFmtId="0" fontId="6" fillId="0" borderId="6" xfId="3" applyFont="1" applyFill="1" applyBorder="1" applyAlignment="1">
      <alignment horizontal="right" vertical="center"/>
    </xf>
    <xf numFmtId="0" fontId="1" fillId="0" borderId="6" xfId="3" applyFont="1" applyFill="1" applyBorder="1" applyAlignment="1">
      <alignment horizontal="right" vertical="center"/>
    </xf>
    <xf numFmtId="43" fontId="1" fillId="2" borderId="7" xfId="2" applyFont="1" applyFill="1" applyBorder="1" applyAlignment="1">
      <alignment horizontal="center" vertical="center"/>
    </xf>
    <xf numFmtId="0" fontId="1" fillId="3" borderId="6" xfId="3" applyFont="1" applyFill="1" applyBorder="1" applyAlignment="1">
      <alignment horizontal="right" vertical="center"/>
    </xf>
    <xf numFmtId="43" fontId="1" fillId="2" borderId="7" xfId="2" applyFont="1" applyFill="1" applyBorder="1" applyAlignment="1">
      <alignment horizontal="right" vertical="center"/>
    </xf>
    <xf numFmtId="43" fontId="1" fillId="0" borderId="7" xfId="2" applyFont="1" applyBorder="1" applyAlignment="1">
      <alignment vertical="center"/>
    </xf>
    <xf numFmtId="0" fontId="5" fillId="3" borderId="6" xfId="3" applyFont="1" applyFill="1" applyBorder="1" applyAlignment="1">
      <alignment horizontal="right" vertical="center"/>
    </xf>
    <xf numFmtId="43" fontId="1" fillId="2" borderId="7" xfId="2" applyFont="1" applyFill="1" applyBorder="1" applyAlignment="1">
      <alignment vertical="center"/>
    </xf>
    <xf numFmtId="43" fontId="1" fillId="0" borderId="7" xfId="2" applyFont="1" applyFill="1" applyBorder="1" applyAlignment="1">
      <alignment vertical="center"/>
    </xf>
    <xf numFmtId="0" fontId="7" fillId="0" borderId="6" xfId="3" applyFont="1" applyFill="1" applyBorder="1" applyAlignment="1">
      <alignment horizontal="center" vertical="center"/>
    </xf>
    <xf numFmtId="43" fontId="1" fillId="0" borderId="7" xfId="2" applyFont="1" applyBorder="1" applyAlignment="1">
      <alignment horizontal="center" vertical="center"/>
    </xf>
    <xf numFmtId="43" fontId="1" fillId="4" borderId="7" xfId="3" applyNumberFormat="1" applyFont="1" applyFill="1" applyBorder="1" applyAlignment="1">
      <alignment horizontal="center" vertical="center"/>
    </xf>
    <xf numFmtId="0" fontId="1" fillId="0" borderId="8" xfId="3" applyFont="1" applyFill="1" applyBorder="1" applyAlignment="1">
      <alignment vertical="center"/>
    </xf>
    <xf numFmtId="0" fontId="1" fillId="5" borderId="9" xfId="3" applyFont="1" applyFill="1" applyBorder="1" applyAlignment="1">
      <alignment vertical="center"/>
    </xf>
    <xf numFmtId="43" fontId="1" fillId="0" borderId="7" xfId="3" applyNumberFormat="1" applyFont="1" applyBorder="1" applyAlignment="1">
      <alignment horizontal="center" vertical="center"/>
    </xf>
    <xf numFmtId="43" fontId="5" fillId="0" borderId="7" xfId="2" applyFont="1" applyFill="1" applyBorder="1" applyAlignment="1">
      <alignment horizontal="center" vertical="center"/>
    </xf>
    <xf numFmtId="43" fontId="5" fillId="0" borderId="7" xfId="2" applyFont="1" applyBorder="1" applyAlignment="1">
      <alignment vertical="center"/>
    </xf>
    <xf numFmtId="0" fontId="1" fillId="0" borderId="6" xfId="3" applyFont="1" applyFill="1" applyBorder="1" applyAlignment="1">
      <alignment horizontal="center" vertical="center"/>
    </xf>
    <xf numFmtId="43" fontId="1" fillId="4" borderId="7" xfId="2" applyFont="1" applyFill="1" applyBorder="1" applyAlignment="1">
      <alignment horizontal="center" vertical="center"/>
    </xf>
    <xf numFmtId="43" fontId="5" fillId="6" borderId="7" xfId="2" applyFont="1" applyFill="1" applyBorder="1" applyAlignment="1">
      <alignment horizontal="center" vertical="center"/>
    </xf>
    <xf numFmtId="43" fontId="1" fillId="4" borderId="10" xfId="2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4">
    <cellStyle name="常规" xfId="0" builtinId="0"/>
    <cellStyle name="常规 2" xfId="1"/>
    <cellStyle name="常规 2 2" xfId="3"/>
    <cellStyle name="千位分隔 2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workbookViewId="0">
      <selection activeCell="D2" sqref="D2:D105"/>
    </sheetView>
  </sheetViews>
  <sheetFormatPr defaultColWidth="9.25" defaultRowHeight="13.5" x14ac:dyDescent="0.15"/>
  <cols>
    <col min="1" max="1" width="31.25" style="45" customWidth="1"/>
    <col min="2" max="2" width="29.5" style="45" customWidth="1"/>
    <col min="3" max="3" width="31.375" style="45" customWidth="1"/>
    <col min="4" max="4" width="22.125" style="44" customWidth="1"/>
    <col min="5" max="9" width="9.25" style="45"/>
    <col min="10" max="16384" width="9.25" style="46"/>
  </cols>
  <sheetData>
    <row r="1" spans="1:4" s="46" customFormat="1" x14ac:dyDescent="0.15">
      <c r="A1" s="45" t="s">
        <v>0</v>
      </c>
      <c r="B1" s="45" t="s">
        <v>1</v>
      </c>
      <c r="C1" s="45" t="s">
        <v>2</v>
      </c>
      <c r="D1" s="44" t="s">
        <v>3</v>
      </c>
    </row>
    <row r="2" spans="1:4" s="46" customFormat="1" x14ac:dyDescent="0.15">
      <c r="A2" s="45" t="s">
        <v>4</v>
      </c>
      <c r="B2" s="43">
        <v>940249.08000000007</v>
      </c>
      <c r="C2" s="45" t="s">
        <v>65</v>
      </c>
      <c r="D2" s="47">
        <v>0</v>
      </c>
    </row>
    <row r="3" spans="1:4" s="46" customFormat="1" x14ac:dyDescent="0.15">
      <c r="A3" s="45" t="s">
        <v>5</v>
      </c>
      <c r="B3" s="43">
        <v>33995.14</v>
      </c>
      <c r="C3" s="45" t="s">
        <v>66</v>
      </c>
      <c r="D3" s="47">
        <v>0</v>
      </c>
    </row>
    <row r="4" spans="1:4" s="46" customFormat="1" x14ac:dyDescent="0.15">
      <c r="A4" s="45" t="s">
        <v>6</v>
      </c>
      <c r="B4" s="43">
        <v>419449.29</v>
      </c>
      <c r="C4" s="45" t="s">
        <v>67</v>
      </c>
      <c r="D4" s="47">
        <v>0</v>
      </c>
    </row>
    <row r="5" spans="1:4" s="46" customFormat="1" x14ac:dyDescent="0.15">
      <c r="A5" s="45" t="s">
        <v>7</v>
      </c>
      <c r="B5" s="43">
        <v>296529.57999999955</v>
      </c>
      <c r="C5" s="45" t="s">
        <v>68</v>
      </c>
      <c r="D5" s="47">
        <v>419449.29</v>
      </c>
    </row>
    <row r="6" spans="1:4" s="46" customFormat="1" x14ac:dyDescent="0.15">
      <c r="A6" s="45" t="s">
        <v>8</v>
      </c>
      <c r="B6" s="43">
        <v>4719070.3000000007</v>
      </c>
      <c r="C6" s="45" t="s">
        <v>69</v>
      </c>
      <c r="D6" s="47">
        <v>124568.27</v>
      </c>
    </row>
    <row r="7" spans="1:4" s="46" customFormat="1" x14ac:dyDescent="0.15">
      <c r="A7" s="45" t="s">
        <v>9</v>
      </c>
      <c r="B7" s="43">
        <v>103891.71999999999</v>
      </c>
      <c r="C7" s="45" t="s">
        <v>70</v>
      </c>
      <c r="D7" s="47">
        <v>0</v>
      </c>
    </row>
    <row r="8" spans="1:4" s="46" customFormat="1" x14ac:dyDescent="0.15">
      <c r="A8" s="45" t="s">
        <v>10</v>
      </c>
      <c r="B8" s="43">
        <v>132071.91</v>
      </c>
      <c r="C8" s="45" t="s">
        <v>71</v>
      </c>
      <c r="D8" s="47">
        <v>0</v>
      </c>
    </row>
    <row r="9" spans="1:4" s="46" customFormat="1" x14ac:dyDescent="0.15">
      <c r="A9" s="45" t="s">
        <v>11</v>
      </c>
      <c r="B9" s="43">
        <v>8451172.1799999997</v>
      </c>
      <c r="C9" s="45" t="s">
        <v>72</v>
      </c>
      <c r="D9" s="47">
        <v>33995.14</v>
      </c>
    </row>
    <row r="10" spans="1:4" s="46" customFormat="1" x14ac:dyDescent="0.15">
      <c r="A10" s="45" t="s">
        <v>12</v>
      </c>
      <c r="B10" s="43">
        <v>3182603.21</v>
      </c>
      <c r="C10" s="45" t="s">
        <v>73</v>
      </c>
      <c r="D10" s="47">
        <v>0</v>
      </c>
    </row>
    <row r="11" spans="1:4" s="46" customFormat="1" x14ac:dyDescent="0.15">
      <c r="A11" s="45" t="s">
        <v>13</v>
      </c>
      <c r="B11" s="43">
        <v>2925.6299999998882</v>
      </c>
      <c r="C11" s="45" t="s">
        <v>74</v>
      </c>
      <c r="D11" s="47">
        <v>0</v>
      </c>
    </row>
    <row r="12" spans="1:4" s="46" customFormat="1" x14ac:dyDescent="0.15">
      <c r="A12" s="45" t="s">
        <v>14</v>
      </c>
      <c r="B12" s="43">
        <v>757254.69000000041</v>
      </c>
      <c r="C12" s="45" t="s">
        <v>75</v>
      </c>
      <c r="D12" s="47">
        <v>0</v>
      </c>
    </row>
    <row r="13" spans="1:4" s="46" customFormat="1" x14ac:dyDescent="0.15">
      <c r="A13" s="45" t="s">
        <v>15</v>
      </c>
      <c r="B13" s="43">
        <v>9615.09</v>
      </c>
      <c r="C13" s="45" t="s">
        <v>76</v>
      </c>
      <c r="D13" s="47">
        <v>0</v>
      </c>
    </row>
    <row r="14" spans="1:4" s="46" customFormat="1" x14ac:dyDescent="0.15">
      <c r="A14" s="45" t="s">
        <v>16</v>
      </c>
      <c r="B14" s="43">
        <v>251808.39</v>
      </c>
      <c r="C14" s="45" t="s">
        <v>77</v>
      </c>
      <c r="D14" s="47">
        <v>0</v>
      </c>
    </row>
    <row r="15" spans="1:4" s="46" customFormat="1" x14ac:dyDescent="0.15">
      <c r="A15" s="45" t="s">
        <v>17</v>
      </c>
      <c r="B15" s="43">
        <v>272362.71999999997</v>
      </c>
      <c r="C15" s="45" t="s">
        <v>78</v>
      </c>
      <c r="D15" s="47">
        <v>380000</v>
      </c>
    </row>
    <row r="16" spans="1:4" s="46" customFormat="1" x14ac:dyDescent="0.15">
      <c r="A16" s="45" t="s">
        <v>18</v>
      </c>
      <c r="B16" s="43">
        <v>11739.380000000001</v>
      </c>
      <c r="C16" s="45" t="s">
        <v>67</v>
      </c>
      <c r="D16" s="47">
        <v>-5000000</v>
      </c>
    </row>
    <row r="17" spans="1:4" s="46" customFormat="1" x14ac:dyDescent="0.15">
      <c r="A17" s="45" t="s">
        <v>19</v>
      </c>
      <c r="B17" s="43">
        <v>34107.08</v>
      </c>
      <c r="C17" s="45" t="s">
        <v>79</v>
      </c>
      <c r="D17" s="47">
        <v>0</v>
      </c>
    </row>
    <row r="18" spans="1:4" s="46" customFormat="1" x14ac:dyDescent="0.15">
      <c r="A18" s="45" t="s">
        <v>20</v>
      </c>
      <c r="B18" s="43">
        <v>88926.500000000015</v>
      </c>
      <c r="C18" s="45" t="s">
        <v>80</v>
      </c>
      <c r="D18" s="47">
        <v>1064074.27</v>
      </c>
    </row>
    <row r="19" spans="1:4" s="46" customFormat="1" x14ac:dyDescent="0.15">
      <c r="A19" s="45" t="s">
        <v>21</v>
      </c>
      <c r="B19" s="43">
        <v>1716.4299999999998</v>
      </c>
      <c r="C19" s="45" t="s">
        <v>81</v>
      </c>
      <c r="D19" s="47">
        <v>0</v>
      </c>
    </row>
    <row r="20" spans="1:4" s="46" customFormat="1" x14ac:dyDescent="0.15">
      <c r="A20" s="45" t="s">
        <v>22</v>
      </c>
      <c r="B20" s="43">
        <v>369.04</v>
      </c>
      <c r="C20" s="45" t="s">
        <v>82</v>
      </c>
      <c r="D20" s="47">
        <v>0</v>
      </c>
    </row>
    <row r="21" spans="1:4" s="46" customFormat="1" x14ac:dyDescent="0.15">
      <c r="A21" s="45" t="s">
        <v>23</v>
      </c>
      <c r="B21" s="43">
        <v>1278145.4700000002</v>
      </c>
      <c r="C21" s="45" t="s">
        <v>83</v>
      </c>
      <c r="D21" s="47">
        <v>296529.58</v>
      </c>
    </row>
    <row r="22" spans="1:4" s="46" customFormat="1" x14ac:dyDescent="0.15">
      <c r="A22" s="45" t="s">
        <v>24</v>
      </c>
      <c r="B22" s="43">
        <v>25183.54</v>
      </c>
      <c r="C22" s="45" t="s">
        <v>84</v>
      </c>
      <c r="D22" s="47">
        <v>0.01</v>
      </c>
    </row>
    <row r="23" spans="1:4" s="46" customFormat="1" x14ac:dyDescent="0.15">
      <c r="A23" s="45" t="s">
        <v>25</v>
      </c>
      <c r="B23" s="43">
        <v>3003.2000000001863</v>
      </c>
      <c r="C23" s="45" t="s">
        <v>85</v>
      </c>
      <c r="D23" s="47">
        <v>0</v>
      </c>
    </row>
    <row r="24" spans="1:4" s="46" customFormat="1" x14ac:dyDescent="0.15">
      <c r="A24" s="45" t="s">
        <v>26</v>
      </c>
      <c r="B24" s="43">
        <v>296057.65000000002</v>
      </c>
      <c r="C24" s="45" t="s">
        <v>66</v>
      </c>
      <c r="D24" s="47">
        <v>0</v>
      </c>
    </row>
    <row r="25" spans="1:4" s="46" customFormat="1" x14ac:dyDescent="0.15">
      <c r="A25" s="45" t="s">
        <v>27</v>
      </c>
      <c r="B25" s="43">
        <v>19559.939999999999</v>
      </c>
      <c r="C25" s="45" t="s">
        <v>86</v>
      </c>
      <c r="D25" s="47">
        <v>103891.72</v>
      </c>
    </row>
    <row r="26" spans="1:4" s="46" customFormat="1" x14ac:dyDescent="0.15">
      <c r="A26" s="45" t="s">
        <v>28</v>
      </c>
      <c r="B26" s="43">
        <v>21331807.159999993</v>
      </c>
      <c r="C26" s="45" t="s">
        <v>87</v>
      </c>
      <c r="D26" s="47">
        <v>0</v>
      </c>
    </row>
    <row r="27" spans="1:4" s="46" customFormat="1" x14ac:dyDescent="0.15">
      <c r="A27" s="45" t="s">
        <v>29</v>
      </c>
      <c r="B27" s="43">
        <v>2133.1807159999994</v>
      </c>
      <c r="C27" s="45" t="s">
        <v>66</v>
      </c>
      <c r="D27" s="47">
        <v>0</v>
      </c>
    </row>
    <row r="28" spans="1:4" s="46" customFormat="1" x14ac:dyDescent="0.15">
      <c r="A28" s="45" t="s">
        <v>30</v>
      </c>
      <c r="B28" s="43">
        <v>45395.08</v>
      </c>
      <c r="C28" s="45" t="s">
        <v>88</v>
      </c>
      <c r="D28" s="47">
        <v>132071.91</v>
      </c>
    </row>
    <row r="29" spans="1:4" s="46" customFormat="1" x14ac:dyDescent="0.15">
      <c r="A29" s="45" t="s">
        <v>31</v>
      </c>
      <c r="B29" s="43">
        <v>10574.63</v>
      </c>
      <c r="C29" s="45" t="s">
        <v>89</v>
      </c>
      <c r="D29" s="47">
        <v>0</v>
      </c>
    </row>
    <row r="30" spans="1:4" s="46" customFormat="1" x14ac:dyDescent="0.15">
      <c r="A30" s="45" t="s">
        <v>32</v>
      </c>
      <c r="B30" s="43">
        <v>85186.55</v>
      </c>
      <c r="C30" s="45" t="s">
        <v>90</v>
      </c>
      <c r="D30" s="47">
        <v>0</v>
      </c>
    </row>
    <row r="31" spans="1:4" s="46" customFormat="1" x14ac:dyDescent="0.15">
      <c r="A31" s="45" t="s">
        <v>33</v>
      </c>
      <c r="B31" s="43">
        <v>2050013.7000000002</v>
      </c>
      <c r="C31" s="45" t="s">
        <v>91</v>
      </c>
      <c r="D31" s="47">
        <v>0</v>
      </c>
    </row>
    <row r="32" spans="1:4" s="46" customFormat="1" x14ac:dyDescent="0.15">
      <c r="A32" s="45"/>
      <c r="B32" s="45"/>
      <c r="C32" s="45" t="s">
        <v>92</v>
      </c>
      <c r="D32" s="47">
        <v>0</v>
      </c>
    </row>
    <row r="33" spans="3:4" s="46" customFormat="1" x14ac:dyDescent="0.15">
      <c r="C33" s="45" t="s">
        <v>93</v>
      </c>
      <c r="D33" s="47">
        <v>0</v>
      </c>
    </row>
    <row r="34" spans="3:4" s="46" customFormat="1" x14ac:dyDescent="0.15">
      <c r="C34" s="45" t="s">
        <v>94</v>
      </c>
      <c r="D34" s="47">
        <v>0</v>
      </c>
    </row>
    <row r="35" spans="3:4" s="46" customFormat="1" x14ac:dyDescent="0.15">
      <c r="C35" s="45" t="s">
        <v>95</v>
      </c>
      <c r="D35" s="47">
        <v>0</v>
      </c>
    </row>
    <row r="36" spans="3:4" s="46" customFormat="1" x14ac:dyDescent="0.15">
      <c r="C36" s="45" t="s">
        <v>96</v>
      </c>
      <c r="D36" s="47">
        <v>0</v>
      </c>
    </row>
    <row r="37" spans="3:4" s="46" customFormat="1" x14ac:dyDescent="0.15">
      <c r="C37" s="45" t="s">
        <v>97</v>
      </c>
      <c r="D37" s="47">
        <v>0</v>
      </c>
    </row>
    <row r="38" spans="3:4" s="46" customFormat="1" x14ac:dyDescent="0.15">
      <c r="C38" s="45" t="s">
        <v>98</v>
      </c>
      <c r="D38" s="47">
        <v>5757254.6900000004</v>
      </c>
    </row>
    <row r="39" spans="3:4" s="46" customFormat="1" x14ac:dyDescent="0.15">
      <c r="C39" s="45" t="s">
        <v>99</v>
      </c>
      <c r="D39" s="47">
        <v>0</v>
      </c>
    </row>
    <row r="40" spans="3:4" s="46" customFormat="1" x14ac:dyDescent="0.15">
      <c r="C40" s="45" t="s">
        <v>100</v>
      </c>
      <c r="D40" s="47">
        <v>0</v>
      </c>
    </row>
    <row r="41" spans="3:4" s="46" customFormat="1" x14ac:dyDescent="0.15">
      <c r="C41" s="45" t="s">
        <v>101</v>
      </c>
      <c r="D41" s="47">
        <v>1064074.27</v>
      </c>
    </row>
    <row r="42" spans="3:4" s="46" customFormat="1" x14ac:dyDescent="0.15">
      <c r="C42" s="45" t="s">
        <v>102</v>
      </c>
      <c r="D42" s="47">
        <v>0</v>
      </c>
    </row>
    <row r="43" spans="3:4" s="46" customFormat="1" x14ac:dyDescent="0.15">
      <c r="C43" s="45" t="s">
        <v>66</v>
      </c>
      <c r="D43" s="47">
        <v>0</v>
      </c>
    </row>
    <row r="44" spans="3:4" s="46" customFormat="1" x14ac:dyDescent="0.15">
      <c r="C44" s="45" t="s">
        <v>78</v>
      </c>
      <c r="D44" s="47">
        <v>0</v>
      </c>
    </row>
    <row r="45" spans="3:4" s="46" customFormat="1" x14ac:dyDescent="0.15">
      <c r="C45" s="45" t="s">
        <v>67</v>
      </c>
      <c r="D45" s="47">
        <v>0</v>
      </c>
    </row>
    <row r="46" spans="3:4" s="46" customFormat="1" x14ac:dyDescent="0.15">
      <c r="C46" s="45" t="s">
        <v>67</v>
      </c>
      <c r="D46" s="47">
        <v>0</v>
      </c>
    </row>
    <row r="47" spans="3:4" s="46" customFormat="1" x14ac:dyDescent="0.15">
      <c r="C47" s="45" t="s">
        <v>103</v>
      </c>
      <c r="D47" s="47">
        <v>1017430.3</v>
      </c>
    </row>
    <row r="48" spans="3:4" s="46" customFormat="1" x14ac:dyDescent="0.15">
      <c r="C48" s="45" t="s">
        <v>104</v>
      </c>
      <c r="D48" s="47">
        <v>0</v>
      </c>
    </row>
    <row r="49" spans="3:4" s="46" customFormat="1" x14ac:dyDescent="0.15">
      <c r="C49" s="45" t="s">
        <v>105</v>
      </c>
      <c r="D49" s="47">
        <v>2627007.09</v>
      </c>
    </row>
    <row r="50" spans="3:4" s="46" customFormat="1" x14ac:dyDescent="0.15">
      <c r="C50" s="45" t="s">
        <v>106</v>
      </c>
      <c r="D50" s="47">
        <v>0</v>
      </c>
    </row>
    <row r="51" spans="3:4" s="46" customFormat="1" x14ac:dyDescent="0.15">
      <c r="C51" s="45" t="s">
        <v>107</v>
      </c>
      <c r="D51" s="47">
        <v>9615.09</v>
      </c>
    </row>
    <row r="52" spans="3:4" s="46" customFormat="1" x14ac:dyDescent="0.15">
      <c r="C52" s="45" t="s">
        <v>66</v>
      </c>
      <c r="D52" s="47">
        <v>0</v>
      </c>
    </row>
    <row r="53" spans="3:4" s="46" customFormat="1" x14ac:dyDescent="0.15">
      <c r="C53" s="45" t="s">
        <v>67</v>
      </c>
      <c r="D53" s="47">
        <v>0</v>
      </c>
    </row>
    <row r="54" spans="3:4" s="46" customFormat="1" x14ac:dyDescent="0.15">
      <c r="C54" s="45" t="s">
        <v>108</v>
      </c>
      <c r="D54" s="47">
        <v>940249.08</v>
      </c>
    </row>
    <row r="55" spans="3:4" s="46" customFormat="1" x14ac:dyDescent="0.15">
      <c r="C55" s="45" t="s">
        <v>66</v>
      </c>
      <c r="D55" s="47">
        <v>709196.98</v>
      </c>
    </row>
    <row r="56" spans="3:4" s="46" customFormat="1" x14ac:dyDescent="0.15">
      <c r="C56" s="45" t="s">
        <v>109</v>
      </c>
      <c r="D56" s="47">
        <v>3182603.21</v>
      </c>
    </row>
    <row r="57" spans="3:4" s="46" customFormat="1" x14ac:dyDescent="0.15">
      <c r="C57" s="45" t="s">
        <v>110</v>
      </c>
      <c r="D57" s="47">
        <v>2925.63</v>
      </c>
    </row>
    <row r="58" spans="3:4" s="46" customFormat="1" x14ac:dyDescent="0.15">
      <c r="C58" s="45" t="s">
        <v>66</v>
      </c>
      <c r="D58" s="47">
        <v>928856.34</v>
      </c>
    </row>
    <row r="59" spans="3:4" s="46" customFormat="1" x14ac:dyDescent="0.15">
      <c r="C59" s="45" t="s">
        <v>67</v>
      </c>
      <c r="D59" s="47">
        <v>0</v>
      </c>
    </row>
    <row r="60" spans="3:4" s="46" customFormat="1" x14ac:dyDescent="0.15">
      <c r="C60" s="45" t="s">
        <v>111</v>
      </c>
      <c r="D60" s="47">
        <v>8451172.1799999997</v>
      </c>
    </row>
    <row r="61" spans="3:4" s="46" customFormat="1" x14ac:dyDescent="0.15">
      <c r="C61" s="45" t="s">
        <v>112</v>
      </c>
      <c r="D61" s="47">
        <v>0</v>
      </c>
    </row>
    <row r="62" spans="3:4" s="46" customFormat="1" x14ac:dyDescent="0.15">
      <c r="C62" s="45" t="s">
        <v>113</v>
      </c>
      <c r="D62" s="47">
        <v>210.73</v>
      </c>
    </row>
    <row r="63" spans="3:4" s="46" customFormat="1" x14ac:dyDescent="0.15">
      <c r="C63" s="45" t="s">
        <v>114</v>
      </c>
      <c r="D63" s="47">
        <v>0</v>
      </c>
    </row>
    <row r="64" spans="3:4" s="46" customFormat="1" x14ac:dyDescent="0.15">
      <c r="C64" s="45" t="s">
        <v>115</v>
      </c>
      <c r="D64" s="47">
        <v>0</v>
      </c>
    </row>
    <row r="65" spans="3:4" s="46" customFormat="1" x14ac:dyDescent="0.15">
      <c r="C65" s="45" t="s">
        <v>116</v>
      </c>
      <c r="D65" s="47">
        <v>0</v>
      </c>
    </row>
    <row r="66" spans="3:4" s="46" customFormat="1" x14ac:dyDescent="0.15">
      <c r="C66" s="45" t="s">
        <v>117</v>
      </c>
      <c r="D66" s="47">
        <v>0</v>
      </c>
    </row>
    <row r="67" spans="3:4" s="46" customFormat="1" x14ac:dyDescent="0.15">
      <c r="C67" s="45" t="s">
        <v>118</v>
      </c>
      <c r="D67" s="47">
        <v>0</v>
      </c>
    </row>
    <row r="68" spans="3:4" s="46" customFormat="1" x14ac:dyDescent="0.15">
      <c r="C68" s="45" t="s">
        <v>119</v>
      </c>
      <c r="D68" s="47">
        <v>0</v>
      </c>
    </row>
    <row r="69" spans="3:4" s="46" customFormat="1" x14ac:dyDescent="0.15">
      <c r="C69" s="45" t="s">
        <v>120</v>
      </c>
      <c r="D69" s="47">
        <v>0</v>
      </c>
    </row>
    <row r="70" spans="3:4" s="46" customFormat="1" x14ac:dyDescent="0.15">
      <c r="C70" s="45" t="s">
        <v>121</v>
      </c>
      <c r="D70" s="47">
        <v>0</v>
      </c>
    </row>
    <row r="71" spans="3:4" s="46" customFormat="1" x14ac:dyDescent="0.15">
      <c r="C71" s="45" t="s">
        <v>122</v>
      </c>
      <c r="D71" s="47">
        <v>2050013.7</v>
      </c>
    </row>
    <row r="72" spans="3:4" s="46" customFormat="1" x14ac:dyDescent="0.15">
      <c r="C72" s="45" t="s">
        <v>123</v>
      </c>
      <c r="D72" s="47">
        <v>88926.5</v>
      </c>
    </row>
    <row r="73" spans="3:4" s="46" customFormat="1" x14ac:dyDescent="0.15">
      <c r="C73" s="45" t="s">
        <v>124</v>
      </c>
      <c r="D73" s="47">
        <v>1716.43</v>
      </c>
    </row>
    <row r="74" spans="3:4" s="46" customFormat="1" x14ac:dyDescent="0.15">
      <c r="C74" s="45" t="s">
        <v>125</v>
      </c>
      <c r="D74" s="47">
        <v>0</v>
      </c>
    </row>
    <row r="75" spans="3:4" s="46" customFormat="1" x14ac:dyDescent="0.15">
      <c r="C75" s="45" t="s">
        <v>126</v>
      </c>
      <c r="D75" s="47">
        <v>0</v>
      </c>
    </row>
    <row r="76" spans="3:4" s="46" customFormat="1" x14ac:dyDescent="0.15">
      <c r="C76" s="45" t="s">
        <v>127</v>
      </c>
      <c r="D76" s="47">
        <v>0</v>
      </c>
    </row>
    <row r="77" spans="3:4" s="46" customFormat="1" x14ac:dyDescent="0.15">
      <c r="C77" s="45" t="s">
        <v>128</v>
      </c>
      <c r="D77" s="47">
        <v>0</v>
      </c>
    </row>
    <row r="78" spans="3:4" s="46" customFormat="1" x14ac:dyDescent="0.15">
      <c r="C78" s="45" t="s">
        <v>129</v>
      </c>
      <c r="D78" s="47">
        <v>0</v>
      </c>
    </row>
    <row r="79" spans="3:4" s="46" customFormat="1" x14ac:dyDescent="0.15">
      <c r="C79" s="45" t="s">
        <v>130</v>
      </c>
      <c r="D79" s="47">
        <v>0</v>
      </c>
    </row>
    <row r="80" spans="3:4" s="46" customFormat="1" x14ac:dyDescent="0.15">
      <c r="C80" s="45" t="s">
        <v>131</v>
      </c>
      <c r="D80" s="47">
        <v>369.04</v>
      </c>
    </row>
    <row r="81" spans="3:4" s="46" customFormat="1" x14ac:dyDescent="0.15">
      <c r="C81" s="45" t="s">
        <v>132</v>
      </c>
      <c r="D81" s="47">
        <v>25183.54</v>
      </c>
    </row>
    <row r="82" spans="3:4" s="46" customFormat="1" x14ac:dyDescent="0.15">
      <c r="C82" s="45" t="s">
        <v>133</v>
      </c>
      <c r="D82" s="47">
        <v>0</v>
      </c>
    </row>
    <row r="83" spans="3:4" s="46" customFormat="1" x14ac:dyDescent="0.15">
      <c r="C83" s="45" t="s">
        <v>134</v>
      </c>
      <c r="D83" s="47">
        <v>0</v>
      </c>
    </row>
    <row r="84" spans="3:4" s="46" customFormat="1" x14ac:dyDescent="0.15">
      <c r="C84" s="45" t="s">
        <v>135</v>
      </c>
      <c r="D84" s="47">
        <v>0</v>
      </c>
    </row>
    <row r="85" spans="3:4" s="46" customFormat="1" x14ac:dyDescent="0.15">
      <c r="C85" s="45" t="s">
        <v>136</v>
      </c>
      <c r="D85" s="47">
        <v>0</v>
      </c>
    </row>
    <row r="86" spans="3:4" s="46" customFormat="1" x14ac:dyDescent="0.15">
      <c r="C86" s="45" t="s">
        <v>137</v>
      </c>
      <c r="D86" s="47">
        <v>0</v>
      </c>
    </row>
    <row r="87" spans="3:4" s="46" customFormat="1" x14ac:dyDescent="0.15">
      <c r="C87" s="45" t="s">
        <v>138</v>
      </c>
      <c r="D87" s="47">
        <v>0</v>
      </c>
    </row>
    <row r="88" spans="3:4" s="46" customFormat="1" x14ac:dyDescent="0.15">
      <c r="C88" s="45" t="s">
        <v>139</v>
      </c>
      <c r="D88" s="47">
        <v>1074208.3799999999</v>
      </c>
    </row>
    <row r="89" spans="3:4" s="46" customFormat="1" x14ac:dyDescent="0.15">
      <c r="C89" s="45" t="s">
        <v>140</v>
      </c>
      <c r="D89" s="47">
        <v>3003.2</v>
      </c>
    </row>
    <row r="90" spans="3:4" s="46" customFormat="1" x14ac:dyDescent="0.15">
      <c r="C90" s="45" t="s">
        <v>141</v>
      </c>
      <c r="D90" s="47">
        <v>34107.08</v>
      </c>
    </row>
    <row r="91" spans="3:4" s="46" customFormat="1" x14ac:dyDescent="0.15">
      <c r="C91" s="45" t="s">
        <v>142</v>
      </c>
      <c r="D91" s="47">
        <v>11739.38</v>
      </c>
    </row>
    <row r="92" spans="3:4" s="46" customFormat="1" x14ac:dyDescent="0.15">
      <c r="C92" s="45" t="s">
        <v>143</v>
      </c>
      <c r="D92" s="47">
        <v>0</v>
      </c>
    </row>
    <row r="93" spans="3:4" s="46" customFormat="1" x14ac:dyDescent="0.15">
      <c r="C93" s="45" t="s">
        <v>144</v>
      </c>
      <c r="D93" s="47">
        <v>0</v>
      </c>
    </row>
    <row r="94" spans="3:4" s="46" customFormat="1" x14ac:dyDescent="0.15">
      <c r="C94" s="45" t="s">
        <v>145</v>
      </c>
      <c r="D94" s="47">
        <v>0</v>
      </c>
    </row>
    <row r="95" spans="3:4" s="46" customFormat="1" x14ac:dyDescent="0.15">
      <c r="C95" s="45" t="s">
        <v>146</v>
      </c>
      <c r="D95" s="47">
        <v>0</v>
      </c>
    </row>
    <row r="96" spans="3:4" s="46" customFormat="1" x14ac:dyDescent="0.15">
      <c r="C96" s="45" t="s">
        <v>147</v>
      </c>
      <c r="D96" s="47">
        <v>0</v>
      </c>
    </row>
    <row r="97" spans="3:4" s="46" customFormat="1" x14ac:dyDescent="0.15">
      <c r="C97" s="45" t="s">
        <v>148</v>
      </c>
      <c r="D97" s="47">
        <v>0</v>
      </c>
    </row>
    <row r="98" spans="3:4" s="46" customFormat="1" x14ac:dyDescent="0.15">
      <c r="C98" s="45" t="s">
        <v>149</v>
      </c>
      <c r="D98" s="47">
        <v>272362.71999999997</v>
      </c>
    </row>
    <row r="99" spans="3:4" s="46" customFormat="1" x14ac:dyDescent="0.15">
      <c r="C99" s="45" t="s">
        <v>150</v>
      </c>
      <c r="D99" s="47">
        <v>251808.39</v>
      </c>
    </row>
    <row r="100" spans="3:4" s="46" customFormat="1" x14ac:dyDescent="0.15">
      <c r="C100" s="45" t="s">
        <v>151</v>
      </c>
      <c r="D100" s="47">
        <v>0</v>
      </c>
    </row>
    <row r="101" spans="3:4" s="46" customFormat="1" x14ac:dyDescent="0.15">
      <c r="C101" s="45" t="s">
        <v>152</v>
      </c>
      <c r="D101" s="47">
        <v>0</v>
      </c>
    </row>
    <row r="102" spans="3:4" s="46" customFormat="1" x14ac:dyDescent="0.15">
      <c r="C102" s="45" t="s">
        <v>153</v>
      </c>
      <c r="D102" s="47">
        <v>0</v>
      </c>
    </row>
    <row r="103" spans="3:4" s="46" customFormat="1" x14ac:dyDescent="0.15">
      <c r="C103" s="45" t="s">
        <v>154</v>
      </c>
      <c r="D103" s="47">
        <v>531199.23</v>
      </c>
    </row>
    <row r="104" spans="3:4" s="46" customFormat="1" x14ac:dyDescent="0.15">
      <c r="C104" s="45" t="s">
        <v>155</v>
      </c>
      <c r="D104" s="47">
        <v>19559.939999999999</v>
      </c>
    </row>
    <row r="105" spans="3:4" s="46" customFormat="1" x14ac:dyDescent="0.15">
      <c r="C105" s="45"/>
      <c r="D105" s="47">
        <v>296082.65000000002</v>
      </c>
    </row>
  </sheetData>
  <phoneticPr fontId="1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2"/>
  <sheetViews>
    <sheetView topLeftCell="A14" workbookViewId="0">
      <selection sqref="A1:B39"/>
    </sheetView>
  </sheetViews>
  <sheetFormatPr defaultColWidth="9.25" defaultRowHeight="13.5" x14ac:dyDescent="0.15"/>
  <cols>
    <col min="2" max="2" width="12.125"/>
  </cols>
  <sheetData>
    <row r="1" spans="1:2" x14ac:dyDescent="0.15">
      <c r="A1" s="1" t="s">
        <v>34</v>
      </c>
      <c r="B1" s="2">
        <f>764125.41-9226.03-2-166-244.6+1900-1216.86</f>
        <v>755169.92</v>
      </c>
    </row>
    <row r="2" spans="1:2" x14ac:dyDescent="0.15">
      <c r="A2" s="3" t="s">
        <v>35</v>
      </c>
      <c r="B2" s="4">
        <f>34365.14-10</f>
        <v>34355.14</v>
      </c>
    </row>
    <row r="3" spans="1:2" x14ac:dyDescent="0.15">
      <c r="A3" s="5" t="s">
        <v>6</v>
      </c>
      <c r="B3" s="4">
        <v>419489.29</v>
      </c>
    </row>
    <row r="4" spans="1:2" x14ac:dyDescent="0.15">
      <c r="A4" s="6" t="s">
        <v>36</v>
      </c>
      <c r="B4" s="7">
        <f>178630.01+5000000-5021999.99</f>
        <v>156630.01999999999</v>
      </c>
    </row>
    <row r="5" spans="1:2" x14ac:dyDescent="0.15">
      <c r="A5" s="8" t="s">
        <v>37</v>
      </c>
      <c r="B5" s="9">
        <f>5596790.26-100-1268957.38-49373-93600-2000000-500000-10-289695-7000-9477.28-852-1583.24-14719-76442.84-13.82+729530-11520-5800-18615.43-17474-5078-4351.79</f>
        <v>1951657.48</v>
      </c>
    </row>
    <row r="6" spans="1:2" x14ac:dyDescent="0.15">
      <c r="A6" s="5" t="s">
        <v>38</v>
      </c>
      <c r="B6" s="10">
        <v>247895.66</v>
      </c>
    </row>
    <row r="7" spans="1:2" x14ac:dyDescent="0.15">
      <c r="A7" s="5" t="s">
        <v>39</v>
      </c>
      <c r="B7" s="11">
        <v>132321.91</v>
      </c>
    </row>
    <row r="8" spans="1:2" x14ac:dyDescent="0.15">
      <c r="A8" s="5" t="s">
        <v>40</v>
      </c>
      <c r="B8" s="12">
        <f>5131808.1-3000000</f>
        <v>2131808.1</v>
      </c>
    </row>
    <row r="9" spans="1:2" x14ac:dyDescent="0.15">
      <c r="A9" s="13" t="s">
        <v>41</v>
      </c>
      <c r="B9" s="14">
        <v>411660.43</v>
      </c>
    </row>
    <row r="10" spans="1:2" x14ac:dyDescent="0.15">
      <c r="A10" s="15" t="s">
        <v>42</v>
      </c>
      <c r="B10" s="16">
        <f>2965.63+10</f>
        <v>2975.63</v>
      </c>
    </row>
    <row r="11" spans="1:2" x14ac:dyDescent="0.15">
      <c r="A11" s="17" t="s">
        <v>14</v>
      </c>
      <c r="B11" s="16">
        <v>582768.68999999994</v>
      </c>
    </row>
    <row r="12" spans="1:2" x14ac:dyDescent="0.15">
      <c r="A12" s="18" t="s">
        <v>15</v>
      </c>
      <c r="B12" s="14">
        <f>9625.09-10</f>
        <v>9615.09</v>
      </c>
    </row>
    <row r="13" spans="1:2" x14ac:dyDescent="0.15">
      <c r="A13" s="13" t="s">
        <v>43</v>
      </c>
      <c r="B13" s="19">
        <v>140978.32999999999</v>
      </c>
    </row>
    <row r="14" spans="1:2" x14ac:dyDescent="0.15">
      <c r="A14" s="20" t="s">
        <v>44</v>
      </c>
      <c r="B14" s="14">
        <v>96169.57</v>
      </c>
    </row>
    <row r="15" spans="1:2" x14ac:dyDescent="0.15">
      <c r="A15" s="21" t="s">
        <v>45</v>
      </c>
      <c r="B15" s="16">
        <v>11739.38</v>
      </c>
    </row>
    <row r="16" spans="1:2" x14ac:dyDescent="0.15">
      <c r="A16" s="22" t="s">
        <v>19</v>
      </c>
      <c r="B16" s="16">
        <f>34657.08+10</f>
        <v>34667.08</v>
      </c>
    </row>
    <row r="17" spans="1:2" x14ac:dyDescent="0.15">
      <c r="A17" s="23" t="s">
        <v>46</v>
      </c>
      <c r="B17" s="24">
        <v>100230.61</v>
      </c>
    </row>
    <row r="18" spans="1:2" x14ac:dyDescent="0.15">
      <c r="A18" s="21" t="s">
        <v>47</v>
      </c>
      <c r="B18" s="16">
        <f>1727.33-10-0.9</f>
        <v>1716.43</v>
      </c>
    </row>
    <row r="19" spans="1:2" x14ac:dyDescent="0.15">
      <c r="A19" s="21" t="s">
        <v>48</v>
      </c>
      <c r="B19" s="16">
        <f>359.04+10</f>
        <v>369.04</v>
      </c>
    </row>
    <row r="20" spans="1:2" x14ac:dyDescent="0.15">
      <c r="A20" s="25" t="s">
        <v>49</v>
      </c>
      <c r="B20" s="26">
        <f>407151.09+20222.6+1012.5-965.25+500000-13794-14905.5-50266.5-18000</f>
        <v>830454.94</v>
      </c>
    </row>
    <row r="21" spans="1:2" x14ac:dyDescent="0.15">
      <c r="A21" s="21" t="s">
        <v>50</v>
      </c>
      <c r="B21" s="27">
        <v>25783.54</v>
      </c>
    </row>
    <row r="22" spans="1:2" x14ac:dyDescent="0.15">
      <c r="A22" s="13" t="s">
        <v>25</v>
      </c>
      <c r="B22" s="27">
        <f>2993.2+10</f>
        <v>3003.2</v>
      </c>
    </row>
    <row r="23" spans="1:2" x14ac:dyDescent="0.15">
      <c r="A23" s="28" t="s">
        <v>26</v>
      </c>
      <c r="B23" s="29">
        <f>92536.6-5-25-57022.21</f>
        <v>35484.39</v>
      </c>
    </row>
    <row r="24" spans="1:2" x14ac:dyDescent="0.15">
      <c r="A24" s="23" t="s">
        <v>27</v>
      </c>
      <c r="B24" s="30">
        <f>19554.94+5</f>
        <v>19559.939999999999</v>
      </c>
    </row>
    <row r="25" spans="1:2" x14ac:dyDescent="0.15">
      <c r="A25" s="31" t="s">
        <v>28</v>
      </c>
      <c r="B25" s="32">
        <f>SUM(B1:B24)</f>
        <v>8136503.8099999996</v>
      </c>
    </row>
    <row r="26" spans="1:2" x14ac:dyDescent="0.15">
      <c r="A26" s="31" t="s">
        <v>29</v>
      </c>
      <c r="B26" s="33">
        <f>B25/10000</f>
        <v>813.65038100000004</v>
      </c>
    </row>
    <row r="27" spans="1:2" x14ac:dyDescent="0.15">
      <c r="A27" s="23" t="s">
        <v>51</v>
      </c>
      <c r="B27" s="16">
        <v>45704.59</v>
      </c>
    </row>
    <row r="28" spans="1:2" x14ac:dyDescent="0.15">
      <c r="A28" s="23" t="s">
        <v>52</v>
      </c>
      <c r="B28" s="16">
        <v>9674.6299999999992</v>
      </c>
    </row>
    <row r="29" spans="1:2" x14ac:dyDescent="0.15">
      <c r="A29" s="23" t="s">
        <v>32</v>
      </c>
      <c r="B29" s="16">
        <f>85270.48-25-16000</f>
        <v>69245.48</v>
      </c>
    </row>
    <row r="30" spans="1:2" x14ac:dyDescent="0.15">
      <c r="A30" s="25" t="s">
        <v>53</v>
      </c>
      <c r="B30" s="16">
        <f>2527359.67-0.53-232337.05-4000-3693-3267-1920-4534</f>
        <v>2277608.09</v>
      </c>
    </row>
    <row r="31" spans="1:2" x14ac:dyDescent="0.15">
      <c r="A31" s="34" t="s">
        <v>54</v>
      </c>
      <c r="B31" s="35"/>
    </row>
    <row r="32" spans="1:2" x14ac:dyDescent="0.15">
      <c r="A32" s="23" t="s">
        <v>55</v>
      </c>
      <c r="B32" s="36">
        <f>148083.17+17.58</f>
        <v>148100.75</v>
      </c>
    </row>
    <row r="33" spans="1:2" x14ac:dyDescent="0.15">
      <c r="A33" s="23" t="s">
        <v>56</v>
      </c>
      <c r="B33" s="37">
        <v>0</v>
      </c>
    </row>
    <row r="34" spans="1:2" x14ac:dyDescent="0.15">
      <c r="A34" s="25" t="s">
        <v>57</v>
      </c>
      <c r="B34" s="38">
        <f>116755.63+22254.39-27.58+63590-100000+500000</f>
        <v>602572.43999999994</v>
      </c>
    </row>
    <row r="35" spans="1:2" x14ac:dyDescent="0.15">
      <c r="A35" s="23" t="s">
        <v>58</v>
      </c>
      <c r="B35" s="37">
        <v>0</v>
      </c>
    </row>
    <row r="36" spans="1:2" x14ac:dyDescent="0.15">
      <c r="A36" s="23" t="s">
        <v>59</v>
      </c>
      <c r="B36" s="37">
        <v>0</v>
      </c>
    </row>
    <row r="37" spans="1:2" x14ac:dyDescent="0.15">
      <c r="A37" s="23" t="s">
        <v>60</v>
      </c>
      <c r="B37" s="37">
        <v>29.33</v>
      </c>
    </row>
    <row r="38" spans="1:2" x14ac:dyDescent="0.15">
      <c r="A38" s="23" t="s">
        <v>61</v>
      </c>
      <c r="B38" s="16">
        <v>0</v>
      </c>
    </row>
    <row r="39" spans="1:2" x14ac:dyDescent="0.15">
      <c r="A39" s="23" t="s">
        <v>62</v>
      </c>
      <c r="B39" s="37">
        <v>17337.75</v>
      </c>
    </row>
    <row r="40" spans="1:2" x14ac:dyDescent="0.15">
      <c r="A40" s="39" t="s">
        <v>28</v>
      </c>
      <c r="B40" s="40">
        <f>SUM(B32:B39)</f>
        <v>768040.27</v>
      </c>
    </row>
    <row r="41" spans="1:2" x14ac:dyDescent="0.15">
      <c r="A41" s="23" t="s">
        <v>63</v>
      </c>
      <c r="B41" s="41">
        <v>0</v>
      </c>
    </row>
    <row r="42" spans="1:2" x14ac:dyDescent="0.15">
      <c r="A42" s="28" t="s">
        <v>64</v>
      </c>
      <c r="B42" s="42">
        <f>1720094.16+763.76-458.41-42.35-500000-3</f>
        <v>1220354.1599999999</v>
      </c>
    </row>
  </sheetData>
  <phoneticPr fontId="1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dzzdsj</dc:creator>
  <cp:lastModifiedBy>陈榕</cp:lastModifiedBy>
  <dcterms:created xsi:type="dcterms:W3CDTF">2025-04-04T19:02:00Z</dcterms:created>
  <dcterms:modified xsi:type="dcterms:W3CDTF">2025-06-05T02:24:19Z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903F60B2ACAC7CFAAC4BEF67027C2490_41</vt:lpwstr>
  </property>
  <property fmtid="{D5CDD505-2E9C-101B-9397-08002B2CF9AE}" pid="3" name="KSOProductBuildVer">
    <vt:lpwstr>2052-6.15.2.8936</vt:lpwstr>
  </property>
</Properties>
</file>